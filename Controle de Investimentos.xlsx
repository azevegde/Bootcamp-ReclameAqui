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ksite-my.sharepoint.com/personal/azevegde_schaeffler_com/Documents/Documents/Gideane/Bootcamp Excel/Projetos/"/>
    </mc:Choice>
  </mc:AlternateContent>
  <xr:revisionPtr revIDLastSave="354" documentId="8_{C89880A0-0545-4D1F-86B2-588FEC7058C9}" xr6:coauthVersionLast="47" xr6:coauthVersionMax="47" xr10:uidLastSave="{C60C16DC-D681-4CD6-AFAD-D3AE3E4BD5FC}"/>
  <bookViews>
    <workbookView xWindow="28680" yWindow="-120" windowWidth="21840" windowHeight="13020" xr2:uid="{3FC452F6-B681-4F9A-B96A-8D3FEFB89751}"/>
  </bookViews>
  <sheets>
    <sheet name="APP" sheetId="1" r:id="rId1"/>
    <sheet name="tb_Apoio" sheetId="2" state="hidden" r:id="rId2"/>
  </sheets>
  <definedNames>
    <definedName name="aporte">APP!$D$17</definedName>
    <definedName name="patrimonio">APP!$D$20</definedName>
    <definedName name="qtde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40" i="1" l="1"/>
  <c r="D38" i="1"/>
  <c r="D36" i="1"/>
  <c r="D41" i="1"/>
  <c r="D39" i="1"/>
  <c r="D37" i="1"/>
  <c r="D42" i="1" l="1"/>
  <c r="C25" i="1" l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D14" i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<sst xmlns="http://schemas.openxmlformats.org/spreadsheetml/2006/main" count="69" uniqueCount="33">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</sst>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#,##0.00;[Red]\-&quot;R$&quot;#,##0.00"/>
    <numFmt numFmtId="44" formatCode="_-&quot;R$&quot;* #,##0.00_-;\-&quot;R$&quot;* #,##0.00_-;_-&quot;R$&quot;* &quot;-&quot;??_-;_-@_-"/>
    <numFmt numFmtId="166" formatCode="&quot;R$&quot;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3" fillId="3" borderId="2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indent="3"/>
    </xf>
    <xf numFmtId="0" fontId="8" fillId="5" borderId="6" xfId="0" applyFont="1" applyFill="1" applyBorder="1" applyAlignment="1">
      <alignment horizontal="left" indent="3"/>
    </xf>
    <xf numFmtId="166" fontId="9" fillId="0" borderId="7" xfId="1" applyNumberFormat="1" applyFont="1" applyBorder="1" applyAlignment="1">
      <alignment horizontal="center" vertical="center"/>
    </xf>
    <xf numFmtId="10" fontId="9" fillId="0" borderId="7" xfId="0" applyNumberFormat="1" applyFont="1" applyBorder="1" applyAlignment="1">
      <alignment horizontal="center" vertical="center"/>
    </xf>
    <xf numFmtId="0" fontId="8" fillId="5" borderId="8" xfId="0" applyFont="1" applyFill="1" applyBorder="1" applyAlignment="1">
      <alignment horizontal="left" indent="3"/>
    </xf>
    <xf numFmtId="0" fontId="8" fillId="5" borderId="9" xfId="0" applyFont="1" applyFill="1" applyBorder="1" applyAlignment="1">
      <alignment horizontal="left" indent="3"/>
    </xf>
    <xf numFmtId="166" fontId="9" fillId="5" borderId="10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0" fontId="11" fillId="0" borderId="7" xfId="0" applyNumberFormat="1" applyFont="1" applyBorder="1" applyAlignment="1">
      <alignment horizontal="center"/>
    </xf>
    <xf numFmtId="0" fontId="10" fillId="4" borderId="5" xfId="0" applyFont="1" applyFill="1" applyBorder="1" applyAlignment="1">
      <alignment horizontal="left" indent="3"/>
    </xf>
    <xf numFmtId="0" fontId="10" fillId="4" borderId="6" xfId="0" applyFont="1" applyFill="1" applyBorder="1" applyAlignment="1">
      <alignment horizontal="left" indent="3"/>
    </xf>
    <xf numFmtId="8" fontId="11" fillId="4" borderId="7" xfId="0" applyNumberFormat="1" applyFont="1" applyFill="1" applyBorder="1" applyAlignment="1">
      <alignment horizontal="center"/>
    </xf>
    <xf numFmtId="0" fontId="10" fillId="4" borderId="8" xfId="0" applyFont="1" applyFill="1" applyBorder="1" applyAlignment="1">
      <alignment horizontal="left" indent="3"/>
    </xf>
    <xf numFmtId="0" fontId="10" fillId="4" borderId="9" xfId="0" applyFont="1" applyFill="1" applyBorder="1" applyAlignment="1">
      <alignment horizontal="left" indent="3"/>
    </xf>
    <xf numFmtId="8" fontId="4" fillId="4" borderId="10" xfId="0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left" indent="3"/>
    </xf>
    <xf numFmtId="166" fontId="9" fillId="5" borderId="12" xfId="0" applyNumberFormat="1" applyFont="1" applyFill="1" applyBorder="1" applyAlignment="1">
      <alignment horizontal="center" vertical="center"/>
    </xf>
    <xf numFmtId="8" fontId="9" fillId="5" borderId="13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indent="3"/>
    </xf>
    <xf numFmtId="166" fontId="9" fillId="5" borderId="6" xfId="0" applyNumberFormat="1" applyFont="1" applyFill="1" applyBorder="1" applyAlignment="1">
      <alignment horizontal="center" vertical="center"/>
    </xf>
    <xf numFmtId="8" fontId="9" fillId="5" borderId="7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left" indent="3"/>
    </xf>
    <xf numFmtId="166" fontId="9" fillId="5" borderId="9" xfId="0" applyNumberFormat="1" applyFont="1" applyFill="1" applyBorder="1" applyAlignment="1">
      <alignment horizontal="center" vertical="center"/>
    </xf>
    <xf numFmtId="8" fontId="9" fillId="5" borderId="10" xfId="0" applyNumberFormat="1" applyFont="1" applyFill="1" applyBorder="1" applyAlignment="1">
      <alignment horizontal="center" vertical="center"/>
    </xf>
    <xf numFmtId="0" fontId="2" fillId="2" borderId="0" xfId="2"/>
    <xf numFmtId="166" fontId="0" fillId="5" borderId="0" xfId="0" applyNumberFormat="1" applyFill="1" applyAlignment="1">
      <alignment horizontal="center"/>
    </xf>
    <xf numFmtId="0" fontId="2" fillId="2" borderId="0" xfId="2" applyAlignment="1">
      <alignment horizontal="center"/>
    </xf>
    <xf numFmtId="0" fontId="4" fillId="5" borderId="0" xfId="0" applyFont="1" applyFill="1"/>
    <xf numFmtId="166" fontId="4" fillId="5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7" borderId="0" xfId="0" applyFill="1"/>
    <xf numFmtId="9" fontId="0" fillId="5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4" xfId="0" applyNumberFormat="1" applyFill="1" applyBorder="1" applyAlignment="1">
      <alignment horizontal="center"/>
    </xf>
    <xf numFmtId="166" fontId="4" fillId="7" borderId="0" xfId="0" applyNumberFormat="1" applyFont="1" applyFill="1"/>
    <xf numFmtId="0" fontId="3" fillId="8" borderId="0" xfId="0" applyFont="1" applyFill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APP!$B$36</c:f>
              <c:strCache>
                <c:ptCount val="1"/>
                <c:pt idx="0">
                  <c:v>PAPEL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APP!$C$36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E-4FA1-B7A0-D12FA3C898EB}"/>
            </c:ext>
          </c:extLst>
        </c:ser>
        <c:ser>
          <c:idx val="1"/>
          <c:order val="1"/>
          <c:tx>
            <c:strRef>
              <c:f>APP!$B$37</c:f>
              <c:strCache>
                <c:ptCount val="1"/>
                <c:pt idx="0">
                  <c:v>TIJOLO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APP!$C$37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E-4FA1-B7A0-D12FA3C898EB}"/>
            </c:ext>
          </c:extLst>
        </c:ser>
        <c:ser>
          <c:idx val="2"/>
          <c:order val="2"/>
          <c:tx>
            <c:strRef>
              <c:f>APP!$B$38</c:f>
              <c:strCache>
                <c:ptCount val="1"/>
                <c:pt idx="0">
                  <c:v>HÍBRIDOS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APP!$C$38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AE-4FA1-B7A0-D12FA3C898EB}"/>
            </c:ext>
          </c:extLst>
        </c:ser>
        <c:ser>
          <c:idx val="3"/>
          <c:order val="3"/>
          <c:tx>
            <c:strRef>
              <c:f>APP!$B$39</c:f>
              <c:strCache>
                <c:ptCount val="1"/>
                <c:pt idx="0">
                  <c:v>FOFs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APP!$C$39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AE-4FA1-B7A0-D12FA3C898EB}"/>
            </c:ext>
          </c:extLst>
        </c:ser>
        <c:ser>
          <c:idx val="4"/>
          <c:order val="4"/>
          <c:tx>
            <c:strRef>
              <c:f>APP!$B$40</c:f>
              <c:strCache>
                <c:ptCount val="1"/>
                <c:pt idx="0">
                  <c:v>DESENVOLVIMENTO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APP!$C$40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AE-4FA1-B7A0-D12FA3C898EB}"/>
            </c:ext>
          </c:extLst>
        </c:ser>
        <c:ser>
          <c:idx val="5"/>
          <c:order val="5"/>
          <c:tx>
            <c:strRef>
              <c:f>APP!$B$41</c:f>
              <c:strCache>
                <c:ptCount val="1"/>
                <c:pt idx="0">
                  <c:v>HOTELARIAS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APP!$C$41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AE-4FA1-B7A0-D12FA3C898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92035711"/>
        <c:axId val="1405963631"/>
      </c:barChart>
      <c:catAx>
        <c:axId val="149203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5963631"/>
        <c:auto val="1"/>
        <c:lblAlgn val="ctr"/>
        <c:lblOffset val="100"/>
        <c:noMultiLvlLbl val="0"/>
      </c:catAx>
      <c:valAx>
        <c:axId val="140596363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9203571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123826</xdr:colOff>
      <xdr:row>0</xdr:row>
      <xdr:rowOff>152399</xdr:rowOff>
    </xdr:from>
    <xdr:to>
      <xdr:col>4</xdr:col>
      <xdr:colOff>207819</xdr:colOff>
      <xdr:row>9</xdr:row>
      <xdr:rowOff>61499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CB4DCB-4302-4BAD-A465-33BD34D0FC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" r="78"/>
        <a:stretch/>
      </xdr:blipFill>
      <xdr:spPr>
        <a:xfrm>
          <a:off x="123826" y="152399"/>
          <a:ext cx="6294293" cy="1623600"/>
        </a:xfrm>
        <a:prstGeom prst="rect">
          <a:avLst/>
        </a:prstGeom>
      </xdr:spPr>
    </xdr:pic>
    <xdr:clientData/>
  </xdr:twoCellAnchor>
  <xdr:twoCellAnchor>
    <xdr:from>
      <xdr:col>1</xdr:col>
      <xdr:colOff>9526</xdr:colOff>
      <xdr:row>43</xdr:row>
      <xdr:rowOff>100011</xdr:rowOff>
    </xdr:from>
    <xdr:to>
      <xdr:col>3</xdr:col>
      <xdr:colOff>981075</xdr:colOff>
      <xdr:row>59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5AC9C3-4EFA-F237-E910-1C4A87277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1700-7B95-4BC8-B977-8AD77FBAF7CF}">
  <dimension ref="A1:G62"/>
  <sheetViews>
    <sheetView showGridLines="0" tabSelected="1" zoomScaleNormal="100" workbookViewId="0">
      <selection activeCell="F55" sqref="F55"/>
    </sheetView>
  </sheetViews>
  <sheetFormatPr defaultColWidth="0" defaultRowHeight="15" zeroHeight="1" x14ac:dyDescent="0.25"/>
  <cols>
    <col min="1" max="1" width="4.7109375" customWidth="1"/>
    <col min="2" max="2" width="54.42578125" customWidth="1"/>
    <col min="3" max="3" width="18.85546875" bestFit="1" customWidth="1"/>
    <col min="4" max="4" width="15.140625" customWidth="1"/>
    <col min="5" max="5" width="4.85546875" customWidth="1"/>
    <col min="6" max="6" width="3" customWidth="1"/>
    <col min="7" max="7" width="4" customWidth="1"/>
    <col min="8" max="8" width="2.7109375" customWidth="1"/>
    <col min="9" max="11" width="9.140625" hidden="1" customWidth="1"/>
    <col min="12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ht="15.75" thickBot="1" x14ac:dyDescent="0.3"/>
    <row r="11" spans="2:4" ht="27.75" customHeight="1" x14ac:dyDescent="0.25">
      <c r="B11" s="6" t="s">
        <v>15</v>
      </c>
      <c r="C11" s="7"/>
      <c r="D11" s="8"/>
    </row>
    <row r="12" spans="2:4" ht="17.25" x14ac:dyDescent="0.3">
      <c r="B12" s="12" t="s">
        <v>14</v>
      </c>
      <c r="C12" s="13"/>
      <c r="D12" s="14">
        <v>2000</v>
      </c>
    </row>
    <row r="13" spans="2:4" ht="17.25" x14ac:dyDescent="0.3">
      <c r="B13" s="12" t="s">
        <v>13</v>
      </c>
      <c r="C13" s="13"/>
      <c r="D13" s="15">
        <v>6.0000000000000001E-3</v>
      </c>
    </row>
    <row r="14" spans="2:4" ht="18" thickBot="1" x14ac:dyDescent="0.35">
      <c r="B14" s="16" t="s">
        <v>32</v>
      </c>
      <c r="C14" s="17"/>
      <c r="D14" s="18">
        <f>D12*30%</f>
        <v>600</v>
      </c>
    </row>
    <row r="15" spans="2:4" ht="15.75" thickBot="1" x14ac:dyDescent="0.3"/>
    <row r="16" spans="2:4" ht="30.75" x14ac:dyDescent="0.25">
      <c r="B16" s="9" t="s">
        <v>5</v>
      </c>
      <c r="C16" s="10"/>
      <c r="D16" s="11"/>
    </row>
    <row r="17" spans="1:7" ht="17.25" x14ac:dyDescent="0.3">
      <c r="B17" s="12" t="s">
        <v>0</v>
      </c>
      <c r="C17" s="13"/>
      <c r="D17" s="19">
        <v>200</v>
      </c>
    </row>
    <row r="18" spans="1:7" ht="17.25" x14ac:dyDescent="0.3">
      <c r="B18" s="12" t="s">
        <v>1</v>
      </c>
      <c r="C18" s="13"/>
      <c r="D18" s="20">
        <v>5</v>
      </c>
    </row>
    <row r="19" spans="1:7" ht="17.25" x14ac:dyDescent="0.3">
      <c r="B19" s="12" t="s">
        <v>2</v>
      </c>
      <c r="C19" s="13"/>
      <c r="D19" s="21">
        <v>1.0789999999999999E-2</v>
      </c>
    </row>
    <row r="20" spans="1:7" ht="17.25" x14ac:dyDescent="0.3">
      <c r="B20" s="22" t="s">
        <v>3</v>
      </c>
      <c r="C20" s="23"/>
      <c r="D20" s="24">
        <f>FV(taxa_mensal,qtde_anos*12,aporte*-1)</f>
        <v>16755.382799697527</v>
      </c>
    </row>
    <row r="21" spans="1:7" ht="18" thickBot="1" x14ac:dyDescent="0.35">
      <c r="B21" s="25" t="s">
        <v>4</v>
      </c>
      <c r="C21" s="26"/>
      <c r="D21" s="27">
        <f>patrimonio*rendimento_carteira</f>
        <v>100.53229679818516</v>
      </c>
    </row>
    <row r="22" spans="1:7" ht="15.75" thickBot="1" x14ac:dyDescent="0.3"/>
    <row r="23" spans="1:7" ht="30.75" x14ac:dyDescent="0.25">
      <c r="B23" s="9" t="s">
        <v>11</v>
      </c>
      <c r="C23" s="10"/>
      <c r="D23" s="3" t="s">
        <v>12</v>
      </c>
    </row>
    <row r="24" spans="1:7" ht="17.25" x14ac:dyDescent="0.3">
      <c r="A24" s="2">
        <v>2</v>
      </c>
      <c r="B24" s="28" t="s">
        <v>6</v>
      </c>
      <c r="C24" s="29">
        <f>FV(taxa_mensal,$A24*12,aporte*-1)</f>
        <v>5445.5254595290435</v>
      </c>
      <c r="D24" s="30">
        <f>C24*rendimento_carteira</f>
        <v>32.673152757174265</v>
      </c>
    </row>
    <row r="25" spans="1:7" ht="17.25" x14ac:dyDescent="0.3">
      <c r="A25" s="2">
        <v>5</v>
      </c>
      <c r="B25" s="31" t="s">
        <v>7</v>
      </c>
      <c r="C25" s="32">
        <f>FV(taxa_mensal,$A25*12,aporte*-1)</f>
        <v>16755.382799697527</v>
      </c>
      <c r="D25" s="33">
        <f>C25*rendimento_carteira</f>
        <v>100.53229679818516</v>
      </c>
    </row>
    <row r="26" spans="1:7" ht="17.25" x14ac:dyDescent="0.3">
      <c r="A26" s="2">
        <v>10</v>
      </c>
      <c r="B26" s="31" t="s">
        <v>8</v>
      </c>
      <c r="C26" s="32">
        <f>FV(taxa_mensal,$A26*12,aporte*-1)</f>
        <v>48656.842506034438</v>
      </c>
      <c r="D26" s="33">
        <f>C26*rendimento_carteira</f>
        <v>291.94105503620665</v>
      </c>
    </row>
    <row r="27" spans="1:7" ht="17.25" x14ac:dyDescent="0.3">
      <c r="A27" s="2">
        <v>20</v>
      </c>
      <c r="B27" s="31" t="s">
        <v>9</v>
      </c>
      <c r="C27" s="32">
        <f>FV(taxa_mensal,$A27*12,aporte*-1)</f>
        <v>225039.68001941612</v>
      </c>
      <c r="D27" s="33">
        <f>C27*rendimento_carteira</f>
        <v>1350.2380801164968</v>
      </c>
      <c r="G27" s="5"/>
    </row>
    <row r="28" spans="1:7" ht="18" thickBot="1" x14ac:dyDescent="0.35">
      <c r="A28" s="2">
        <v>30</v>
      </c>
      <c r="B28" s="34" t="s">
        <v>10</v>
      </c>
      <c r="C28" s="35">
        <f>FV(taxa_mensal,$A28*12,aporte*-1)</f>
        <v>864433.93100094295</v>
      </c>
      <c r="D28" s="36">
        <f>C28*rendimento_carteira</f>
        <v>5186.6035860056581</v>
      </c>
    </row>
    <row r="29" spans="1:7" x14ac:dyDescent="0.25"/>
    <row r="30" spans="1:7" x14ac:dyDescent="0.25"/>
    <row r="31" spans="1:7" x14ac:dyDescent="0.25"/>
    <row r="32" spans="1:7" x14ac:dyDescent="0.25">
      <c r="B32" s="37" t="s">
        <v>20</v>
      </c>
      <c r="C32" s="39" t="s">
        <v>16</v>
      </c>
      <c r="D32" s="37"/>
    </row>
    <row r="33" spans="2:4" x14ac:dyDescent="0.25">
      <c r="B33" s="40" t="s">
        <v>19</v>
      </c>
      <c r="C33" s="41">
        <f>aporte</f>
        <v>200</v>
      </c>
      <c r="D33" s="40"/>
    </row>
    <row r="34" spans="2:4" x14ac:dyDescent="0.25"/>
    <row r="35" spans="2:4" x14ac:dyDescent="0.25">
      <c r="B35" s="42" t="s">
        <v>21</v>
      </c>
      <c r="C35" s="42" t="s">
        <v>22</v>
      </c>
      <c r="D35" s="42" t="s">
        <v>23</v>
      </c>
    </row>
    <row r="36" spans="2:4" x14ac:dyDescent="0.25">
      <c r="B36" s="1" t="s">
        <v>24</v>
      </c>
      <c r="C36" s="44">
        <f>VLOOKUP($C$32&amp;"-"&amp;B36,tb_Apoio!A3:D20,4,)</f>
        <v>0.3</v>
      </c>
      <c r="D36" s="38">
        <f>C36*$C$33</f>
        <v>60</v>
      </c>
    </row>
    <row r="37" spans="2:4" x14ac:dyDescent="0.25">
      <c r="B37" s="1" t="s">
        <v>25</v>
      </c>
      <c r="C37" s="44">
        <f>VLOOKUP($C$32&amp;"-"&amp;B37,tb_Apoio!A4:D21,4,)</f>
        <v>0.5</v>
      </c>
      <c r="D37" s="38">
        <f t="shared" ref="D37:D41" si="0">C37*$C$33</f>
        <v>100</v>
      </c>
    </row>
    <row r="38" spans="2:4" x14ac:dyDescent="0.25">
      <c r="B38" s="1" t="s">
        <v>26</v>
      </c>
      <c r="C38" s="44">
        <f>VLOOKUP($C$32&amp;"-"&amp;B38,tb_Apoio!A5:D22,4,)</f>
        <v>0.1</v>
      </c>
      <c r="D38" s="38">
        <f t="shared" si="0"/>
        <v>20</v>
      </c>
    </row>
    <row r="39" spans="2:4" x14ac:dyDescent="0.25">
      <c r="B39" s="1" t="s">
        <v>27</v>
      </c>
      <c r="C39" s="44">
        <f>VLOOKUP($C$32&amp;"-"&amp;B39,tb_Apoio!A6:D23,4,)</f>
        <v>0.1</v>
      </c>
      <c r="D39" s="38">
        <f t="shared" si="0"/>
        <v>20</v>
      </c>
    </row>
    <row r="40" spans="2:4" x14ac:dyDescent="0.25">
      <c r="B40" s="1" t="s">
        <v>28</v>
      </c>
      <c r="C40" s="44">
        <f>VLOOKUP($C$32&amp;"-"&amp;B40,tb_Apoio!A7:D24,4,)</f>
        <v>0</v>
      </c>
      <c r="D40" s="38">
        <f t="shared" si="0"/>
        <v>0</v>
      </c>
    </row>
    <row r="41" spans="2:4" x14ac:dyDescent="0.25">
      <c r="B41" s="1" t="s">
        <v>29</v>
      </c>
      <c r="C41" s="44">
        <f>VLOOKUP($C$32&amp;"-"&amp;B41,tb_Apoio!A8:D25,4,)</f>
        <v>0</v>
      </c>
      <c r="D41" s="38">
        <f t="shared" si="0"/>
        <v>0</v>
      </c>
    </row>
    <row r="42" spans="2:4" x14ac:dyDescent="0.25">
      <c r="B42" s="43"/>
      <c r="C42" s="43"/>
      <c r="D42" s="50">
        <f>SUM(D36:D41)</f>
        <v>200</v>
      </c>
    </row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</sheetData>
  <mergeCells count="11">
    <mergeCell ref="B16:D16"/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 xr:uid="{DA347515-9675-401A-9F40-3CFDB0D0001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&amp;C_x000D_&amp;1#&amp;"Aptos"&amp;8&amp;K000000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D079-0D6B-43BB-9440-EDC2EB413CCA}">
  <dimension ref="A2:D20"/>
  <sheetViews>
    <sheetView workbookViewId="0">
      <selection activeCell="A2" sqref="A2:D20"/>
    </sheetView>
  </sheetViews>
  <sheetFormatPr defaultRowHeight="15" x14ac:dyDescent="0.25"/>
  <cols>
    <col min="1" max="1" width="30.85546875" bestFit="1" customWidth="1"/>
    <col min="2" max="2" width="14" customWidth="1"/>
    <col min="3" max="3" width="18.5703125" bestFit="1" customWidth="1"/>
  </cols>
  <sheetData>
    <row r="2" spans="1:4" x14ac:dyDescent="0.25">
      <c r="A2" s="51" t="s">
        <v>31</v>
      </c>
      <c r="B2" s="51" t="s">
        <v>20</v>
      </c>
      <c r="C2" s="51" t="s">
        <v>21</v>
      </c>
      <c r="D2" s="51" t="s">
        <v>30</v>
      </c>
    </row>
    <row r="3" spans="1:4" x14ac:dyDescent="0.25">
      <c r="A3" t="str">
        <f>B3&amp;"-"&amp;C3</f>
        <v>Conservador-PAPEL</v>
      </c>
      <c r="B3" s="1" t="s">
        <v>16</v>
      </c>
      <c r="C3" s="1" t="s">
        <v>24</v>
      </c>
      <c r="D3" s="4">
        <v>0.3</v>
      </c>
    </row>
    <row r="4" spans="1:4" x14ac:dyDescent="0.25">
      <c r="A4" t="str">
        <f t="shared" ref="A4:A20" si="0">B4&amp;"-"&amp;C4</f>
        <v>Conservador-TIJOLO</v>
      </c>
      <c r="B4" s="1" t="s">
        <v>16</v>
      </c>
      <c r="C4" s="1" t="s">
        <v>25</v>
      </c>
      <c r="D4" s="4">
        <v>0.5</v>
      </c>
    </row>
    <row r="5" spans="1:4" x14ac:dyDescent="0.25">
      <c r="A5" t="str">
        <f t="shared" si="0"/>
        <v>Conservador-HÍBRIDOS</v>
      </c>
      <c r="B5" s="1" t="s">
        <v>16</v>
      </c>
      <c r="C5" s="1" t="s">
        <v>26</v>
      </c>
      <c r="D5" s="4">
        <v>0.1</v>
      </c>
    </row>
    <row r="6" spans="1:4" x14ac:dyDescent="0.25">
      <c r="A6" t="str">
        <f t="shared" si="0"/>
        <v>Conservador-FOFs</v>
      </c>
      <c r="B6" s="1" t="s">
        <v>16</v>
      </c>
      <c r="C6" s="1" t="s">
        <v>27</v>
      </c>
      <c r="D6" s="4">
        <v>0.1</v>
      </c>
    </row>
    <row r="7" spans="1:4" x14ac:dyDescent="0.25">
      <c r="A7" t="str">
        <f t="shared" si="0"/>
        <v>Conservador-DESENVOLVIMENTO</v>
      </c>
      <c r="B7" s="1" t="s">
        <v>16</v>
      </c>
      <c r="C7" s="1" t="s">
        <v>28</v>
      </c>
      <c r="D7" s="4">
        <v>0</v>
      </c>
    </row>
    <row r="8" spans="1:4" ht="15.75" thickBot="1" x14ac:dyDescent="0.3">
      <c r="A8" s="45" t="str">
        <f t="shared" si="0"/>
        <v>Conservador-HOTELARIAS</v>
      </c>
      <c r="B8" s="46" t="s">
        <v>16</v>
      </c>
      <c r="C8" s="46" t="s">
        <v>29</v>
      </c>
      <c r="D8" s="47">
        <v>0</v>
      </c>
    </row>
    <row r="9" spans="1:4" x14ac:dyDescent="0.25">
      <c r="A9" t="str">
        <f t="shared" si="0"/>
        <v>Moderado-PAPEL</v>
      </c>
      <c r="B9" s="1" t="s">
        <v>17</v>
      </c>
      <c r="C9" s="1" t="s">
        <v>24</v>
      </c>
      <c r="D9" s="48">
        <v>0.32</v>
      </c>
    </row>
    <row r="10" spans="1:4" x14ac:dyDescent="0.25">
      <c r="A10" t="str">
        <f t="shared" si="0"/>
        <v>Moderado-TIJOLO</v>
      </c>
      <c r="B10" s="1" t="s">
        <v>17</v>
      </c>
      <c r="C10" s="1" t="s">
        <v>25</v>
      </c>
      <c r="D10" s="48">
        <v>0.35</v>
      </c>
    </row>
    <row r="11" spans="1:4" x14ac:dyDescent="0.25">
      <c r="A11" t="str">
        <f t="shared" si="0"/>
        <v>Moderado-HÍBRIDOS</v>
      </c>
      <c r="B11" s="1" t="s">
        <v>17</v>
      </c>
      <c r="C11" s="1" t="s">
        <v>26</v>
      </c>
      <c r="D11" s="48">
        <v>0.08</v>
      </c>
    </row>
    <row r="12" spans="1:4" x14ac:dyDescent="0.25">
      <c r="A12" t="str">
        <f t="shared" si="0"/>
        <v>Moderado-FOFs</v>
      </c>
      <c r="B12" s="1" t="s">
        <v>17</v>
      </c>
      <c r="C12" s="1" t="s">
        <v>27</v>
      </c>
      <c r="D12" s="48">
        <v>0.05</v>
      </c>
    </row>
    <row r="13" spans="1:4" x14ac:dyDescent="0.25">
      <c r="A13" t="str">
        <f t="shared" si="0"/>
        <v>Moderado-DESENVOLVIMENTO</v>
      </c>
      <c r="B13" s="1" t="s">
        <v>17</v>
      </c>
      <c r="C13" s="1" t="s">
        <v>28</v>
      </c>
      <c r="D13" s="48">
        <v>0.1</v>
      </c>
    </row>
    <row r="14" spans="1:4" ht="15.75" thickBot="1" x14ac:dyDescent="0.3">
      <c r="A14" s="45" t="str">
        <f t="shared" si="0"/>
        <v>Moderado-HOTELARIAS</v>
      </c>
      <c r="B14" s="46" t="s">
        <v>17</v>
      </c>
      <c r="C14" s="46" t="s">
        <v>29</v>
      </c>
      <c r="D14" s="49">
        <v>0.1</v>
      </c>
    </row>
    <row r="15" spans="1:4" x14ac:dyDescent="0.25">
      <c r="A15" t="str">
        <f t="shared" si="0"/>
        <v>Agressivo-PAPEL</v>
      </c>
      <c r="B15" s="1" t="s">
        <v>18</v>
      </c>
      <c r="C15" s="1" t="s">
        <v>24</v>
      </c>
      <c r="D15" s="48">
        <v>0.5</v>
      </c>
    </row>
    <row r="16" spans="1:4" x14ac:dyDescent="0.25">
      <c r="A16" t="str">
        <f t="shared" si="0"/>
        <v>Agressivo-TIJOLO</v>
      </c>
      <c r="B16" s="1" t="s">
        <v>18</v>
      </c>
      <c r="C16" s="1" t="s">
        <v>25</v>
      </c>
      <c r="D16" s="48">
        <v>0.1</v>
      </c>
    </row>
    <row r="17" spans="1:4" x14ac:dyDescent="0.25">
      <c r="A17" t="str">
        <f t="shared" si="0"/>
        <v>Agressivo-HÍBRIDOS</v>
      </c>
      <c r="B17" s="1" t="s">
        <v>18</v>
      </c>
      <c r="C17" s="1" t="s">
        <v>26</v>
      </c>
      <c r="D17" s="48">
        <v>0.05</v>
      </c>
    </row>
    <row r="18" spans="1:4" x14ac:dyDescent="0.25">
      <c r="A18" t="str">
        <f t="shared" si="0"/>
        <v>Agressivo-FOFs</v>
      </c>
      <c r="B18" s="1" t="s">
        <v>18</v>
      </c>
      <c r="C18" s="1" t="s">
        <v>27</v>
      </c>
      <c r="D18" s="48">
        <v>0.05</v>
      </c>
    </row>
    <row r="19" spans="1:4" x14ac:dyDescent="0.25">
      <c r="A19" t="str">
        <f t="shared" si="0"/>
        <v>Agressivo-DESENVOLVIMENTO</v>
      </c>
      <c r="B19" s="1" t="s">
        <v>18</v>
      </c>
      <c r="C19" s="1" t="s">
        <v>28</v>
      </c>
      <c r="D19" s="48">
        <v>0.2</v>
      </c>
    </row>
    <row r="20" spans="1:4" x14ac:dyDescent="0.25">
      <c r="A20" t="str">
        <f t="shared" si="0"/>
        <v>Agressivo-HOTELARIAS</v>
      </c>
      <c r="B20" s="1" t="s">
        <v>18</v>
      </c>
      <c r="C20" s="1" t="s">
        <v>29</v>
      </c>
      <c r="D20" s="48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f33c2d95-ffb8-4f09-8d49-eacb0a6220f7}" enabled="1" method="Standard" siteId="{67416604-6509-4014-9859-45e709f53d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tb_Apoio</vt:lpstr>
      <vt:lpstr>aporte</vt:lpstr>
      <vt:lpstr>patrimonio</vt:lpstr>
      <vt:lpstr>qtde_anos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Azevedo, Gideane Alves de  (ext.)  BZ/SRC-ZTI</dc:creator>
  <cp:lastModifiedBy>Azevedo, Gideane Alves de  (ext.)  BZ/SRC-ZTI</cp:lastModifiedBy>
  <dcterms:created xsi:type="dcterms:W3CDTF">2026-10-07T12:39:20Z</dcterms:created>
  <dcterms:modified xsi:type="dcterms:W3CDTF">2026-10-07T17:31:50Z</dcterms:modified>
</cp:coreProperties>
</file>